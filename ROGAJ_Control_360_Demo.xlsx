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c377494c4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043a2a7857149e5"/>
    <x:sheet xmlns:r="http://schemas.openxmlformats.org/officeDocument/2006/relationships" name="Ventas y cobranza" sheetId="2" r:id="Rd62ed3bedff64c67"/>
    <x:sheet xmlns:r="http://schemas.openxmlformats.org/officeDocument/2006/relationships" name="Guía de uso" sheetId="3" r:id="Refb32181289043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0"/>
    <x:numFmt numFmtId="201" formatCode="dd/mm/yyyy"/>
    <x:numFmt numFmtId="202" formatCode="&quot;$&quot;#,##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1"/>
      <x:color rgb="FF10283D"/>
      <x:name val="Carlito"/>
    </x:font>
    <x:font>
      <x:b/>
      <x:sz val="16"/>
      <x:color rgb="FF10283D"/>
      <x:name val="Carlito"/>
    </x:font>
    <x:font>
      <x:b/>
      <x:sz val="11"/>
      <x:color rgb="FF1028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83D"/>
      </x:patternFill>
    </x:fill>
    <x:fill>
      <x:patternFill patternType="solid">
        <x:fgColor rgb="FFEAF0F5"/>
      </x:patternFill>
    </x:fill>
    <x:fill>
      <x:patternFill patternType="solid">
        <x:fgColor rgb="FFC7A36B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2" fontId="4" fillId="3" borderId="0" xfId="0" applyNumberFormat="1" applyFont="1" applyFill="1" applyBorder="1"/>
    <x:xf numFmtId="202" fontId="4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82860a1114a3f" /><Relationship Type="http://schemas.openxmlformats.org/officeDocument/2006/relationships/theme" Target="/xl/theme/theme1.xml" Id="R13d58a147f1f478d" /><Relationship Type="http://schemas.openxmlformats.org/officeDocument/2006/relationships/sharedStrings" Target="/xl/sharedStrings.xml" Id="Racbf661e3ff54a52" /><Relationship Type="http://schemas.openxmlformats.org/officeDocument/2006/relationships/worksheet" Target="/xl/worksheets/sheet1.xml" Id="R0043a2a7857149e5" /><Relationship Type="http://schemas.openxmlformats.org/officeDocument/2006/relationships/worksheet" Target="/xl/worksheets/sheet2.xml" Id="Rd62ed3bedff64c67" /><Relationship Type="http://schemas.openxmlformats.org/officeDocument/2006/relationships/worksheet" Target="/xl/worksheets/sheet3.xml" Id="Refb32181289043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b0827b783a4cf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Facturas por estado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Facturas</c:v>
          </c:tx>
          <c:cat>
            <c:strRef>
              <c:f>'Dashboard'!$A$10:$A$12</c:f>
              <c:strCache>
                <c:ptCount val="0"/>
              </c:strCache>
            </c:strRef>
          </c:cat>
          <c:val>
            <c:numRef>
              <c:f>'Dashboard'!$B$10:$B$12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b0827b783a4cf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a90b9245d914fad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0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6" customHeight="1">
      <x:c r="A1" s="10" t="str">
        <x:v>ROGAJ  |  CONTROL 360</x:v>
      </x:c>
      <x:c r="B1" s="10"/>
      <x:c r="C1" s="10"/>
      <x:c r="D1" s="10"/>
      <x:c r="E1" s="10"/>
      <x:c r="F1" s="10"/>
      <x:c r="G1" s="10"/>
      <x:c r="H1" s="10"/>
    </x:row>
    <x:row r="2" ht="26" customHeight="1">
      <x:c r="A2" s="10"/>
      <x:c r="B2" s="10"/>
      <x:c r="C2" s="10"/>
      <x:c r="D2" s="10"/>
      <x:c r="E2" s="10"/>
      <x:c r="F2" s="10"/>
      <x:c r="G2" s="10"/>
      <x:c r="H2" s="10"/>
    </x:row>
    <x:row r="3" ht="27" customHeight="1">
      <x:c r="A3" s="13" t="str">
        <x:v>DEMO · Ventas y cobranza · Datos ficticios · Actualización automática</x:v>
      </x:c>
      <x:c r="B3" s="13"/>
      <x:c r="C3" s="13"/>
      <x:c r="D3" s="13"/>
      <x:c r="E3" s="13"/>
      <x:c r="F3" s="13"/>
      <x:c r="G3" s="13"/>
      <x:c r="H3" s="13"/>
    </x:row>
    <x:row r="5" ht="30" customHeight="1">
      <x:c r="A5" s="3" t="str">
        <x:v>VENTAS TOTALES</x:v>
      </x:c>
      <x:c r="C5" s="3" t="str">
        <x:v>COBRADO</x:v>
      </x:c>
      <x:c r="E5" s="3" t="str">
        <x:v>SALDO PENDIENTE</x:v>
      </x:c>
      <x:c r="G5" s="3" t="str">
        <x:v>FACTURAS VENCIDAS</x:v>
      </x:c>
    </x:row>
    <x:row r="6" ht="36" customHeight="1">
      <x:c r="A6" s="18" t="n">
        <x:f>SUM('Ventas y cobranza'!E2:E101)</x:f>
        <x:v>168200</x:v>
      </x:c>
      <x:c r="C6" s="18" t="n">
        <x:f>SUM('Ventas y cobranza'!H2:H101)</x:f>
        <x:v>63500</x:v>
      </x:c>
      <x:c r="E6" s="18" t="n">
        <x:f>SUM('Ventas y cobranza'!I2:I101)</x:f>
        <x:v>104700</x:v>
      </x:c>
      <x:c r="G6" s="16" t="n">
        <x:f>COUNTIF('Ventas y cobranza'!J2:J101,"Vencido")</x:f>
        <x:v>15</x:v>
      </x:c>
    </x:row>
    <x:row r="9">
      <x:c r="A9" s="23" t="str">
        <x:v>Estado</x:v>
      </x:c>
      <x:c r="B9" s="23" t="str">
        <x:v>Facturas</x:v>
      </x:c>
      <x:c r="D9" s="23" t="str">
        <x:v>Cliente</x:v>
      </x:c>
      <x:c r="E9" s="23" t="str">
        <x:v>Saldo MXN</x:v>
      </x:c>
    </x:row>
    <x:row r="10">
      <x:c r="A10" t="str">
        <x:v>Pagado</x:v>
      </x:c>
      <x:c r="B10" t="n">
        <x:f>COUNTIF('Ventas y cobranza'!J2:J101,A10)</x:f>
        <x:v>5</x:v>
      </x:c>
      <x:c r="D10" t="str">
        <x:v>Comercializadora Norte</x:v>
      </x:c>
      <x:c r="E10" s="20" t="n">
        <x:f>SUMIF('Ventas y cobranza'!C2:C101,D10,'Ventas y cobranza'!I2:I101)</x:f>
        <x:v>19500</x:v>
      </x:c>
    </x:row>
    <x:row r="11">
      <x:c r="A11" t="str">
        <x:v>Pendiente</x:v>
      </x:c>
      <x:c r="B11" t="n">
        <x:f>COUNTIF('Ventas y cobranza'!J2:J101,A11)</x:f>
        <x:v>0</x:v>
      </x:c>
      <x:c r="D11" t="str">
        <x:v>Distribuidora Delta</x:v>
      </x:c>
      <x:c r="E11" s="20" t="n">
        <x:f>SUMIF('Ventas y cobranza'!C2:C101,D11,'Ventas y cobranza'!I2:I101)</x:f>
        <x:v>15500</x:v>
      </x:c>
    </x:row>
    <x:row r="12">
      <x:c r="A12" t="str">
        <x:v>Vencido</x:v>
      </x:c>
      <x:c r="B12" t="n">
        <x:f>COUNTIF('Ventas y cobranza'!J2:J101,A12)</x:f>
        <x:v>15</x:v>
      </x:c>
      <x:c r="D12" t="str">
        <x:v>Grupo Prisma</x:v>
      </x:c>
      <x:c r="E12" s="20" t="n">
        <x:f>SUMIF('Ventas y cobranza'!C2:C101,D12,'Ventas y cobranza'!I2:I101)</x:f>
        <x:v>39500</x:v>
      </x:c>
    </x:row>
    <x:row r="13">
      <x:c r="D13" t="str">
        <x:v>Servicios Atlas</x:v>
      </x:c>
      <x:c r="E13" s="20" t="n">
        <x:f>SUMIF('Ventas y cobranza'!C2:C101,D13,'Ventas y cobranza'!I2:I101)</x:f>
        <x:v>15800</x:v>
      </x:c>
    </x:row>
    <x:row r="14">
      <x:c r="D14" t="str">
        <x:v>Soluciones Andina</x:v>
      </x:c>
      <x:c r="E14" s="20" t="n">
        <x:f>SUMIF('Ventas y cobranza'!C2:C101,D14,'Ventas y cobranza'!I2:I101)</x:f>
        <x:v>14400</x:v>
      </x:c>
    </x:row>
    <x:row r="15">
      <x:c r="E15" s="20"/>
    </x:row>
    <x:row r="16">
      <x:c r="E16" s="20"/>
    </x:row>
    <x:row r="17">
      <x:c r="E17" s="20"/>
    </x:row>
    <x:row r="18">
      <x:c r="E18" s="20"/>
    </x:row>
    <x:row r="19">
      <x:c r="E19" s="20"/>
    </x:row>
    <x:row r="20">
      <x:c r="E20" s="20"/>
    </x:row>
  </x:sheetData>
  <x:mergeCells>
    <x:mergeCell ref="A1:H2"/>
    <x:mergeCell ref="A3:H3"/>
  </x:mergeCells>
  <x:pageMargins left="0.7" right="0.7" top="0.75" bottom="0.75" header="0.3" footer="0.3"/>
  <x:drawing xmlns:r="http://schemas.openxmlformats.org/officeDocument/2006/relationships" r:id="R5a90b9245d914fad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7" hidden="0" customWidth="1"/>
    <x:col min="4" max="4" width="24" hidden="0" customWidth="1"/>
    <x:col min="5" max="5" width="18" hidden="0" customWidth="1"/>
    <x:col min="8" max="8" width="18" hidden="0" customWidth="1"/>
    <x:col min="9" max="9" width="18" hidden="0" customWidth="1"/>
    <x:col min="6" max="6" width="19" hidden="0" customWidth="1"/>
    <x:col min="7" max="7" width="19" hidden="0" customWidth="1"/>
    <x:col min="10" max="10" width="18" hidden="0" customWidth="1"/>
  </x:cols>
  <x:sheetData>
    <x:row r="1" ht="32" customHeight="1">
      <x:c r="A1" s="3" t="str">
        <x:v>Folio</x:v>
      </x:c>
      <x:c r="B1" s="3" t="str">
        <x:v>Fecha venta</x:v>
      </x:c>
      <x:c r="C1" s="3" t="str">
        <x:v>Cliente</x:v>
      </x:c>
      <x:c r="D1" s="3" t="str">
        <x:v>Concepto</x:v>
      </x:c>
      <x:c r="E1" s="3" t="str">
        <x:v>Importe MXN</x:v>
      </x:c>
      <x:c r="F1" s="3" t="str">
        <x:v>Fecha vencimiento</x:v>
      </x:c>
      <x:c r="G1" s="3" t="str">
        <x:v>Fecha pago</x:v>
      </x:c>
      <x:c r="H1" s="3" t="str">
        <x:v>Importe cobrado</x:v>
      </x:c>
      <x:c r="I1" s="3" t="str">
        <x:v>Saldo</x:v>
      </x:c>
      <x:c r="J1" s="3" t="str">
        <x:v>Estado</x:v>
      </x:c>
    </x:row>
    <x:row r="2">
      <x:c r="A2" t="str">
        <x:v>F-1001</x:v>
      </x:c>
      <x:c r="B2" s="8" t="n">
        <x:v>46267</x:v>
      </x:c>
      <x:c r="C2" t="str">
        <x:v>Comercializadora Norte</x:v>
      </x:c>
      <x:c r="D2" t="str">
        <x:v>Servicio comercial</x:v>
      </x:c>
      <x:c r="E2" s="6" t="n">
        <x:v>4500</x:v>
      </x:c>
      <x:c r="F2" s="8" t="n">
        <x:v>46282</x:v>
      </x:c>
      <x:c r="G2" s="8" t="n">
        <x:v>46275</x:v>
      </x:c>
      <x:c r="H2" s="6" t="n">
        <x:v>4500</x:v>
      </x:c>
      <x:c r="I2" s="6" t="n">
        <x:f>IF(E2="","",MAX(0,E2-H2))</x:f>
        <x:v>0</x:v>
      </x:c>
      <x:c r="J2" t="str">
        <x:f>IF(E2="","",IF(I2=0,"Pagado",IF(F2&lt;TODAY(),"Vencido","Pendiente")))</x:f>
        <x:v>Pagado</x:v>
      </x:c>
    </x:row>
    <x:row r="3">
      <x:c r="A3" t="str">
        <x:v>F-1002</x:v>
      </x:c>
      <x:c r="B3" s="8" t="n">
        <x:v>46268</x:v>
      </x:c>
      <x:c r="C3" t="str">
        <x:v>Servicios Atlas</x:v>
      </x:c>
      <x:c r="D3" t="str">
        <x:v>Servicio comercial</x:v>
      </x:c>
      <x:c r="E3" s="6" t="n">
        <x:v>6200</x:v>
      </x:c>
      <x:c r="F3" s="8" t="n">
        <x:v>46283</x:v>
      </x:c>
      <x:c r="G3" s="8" t="n">
        <x:v>46276</x:v>
      </x:c>
      <x:c r="H3" s="6" t="n">
        <x:v>3100</x:v>
      </x:c>
      <x:c r="I3" s="6" t="n">
        <x:f>IF(E3="","",MAX(0,E3-H3))</x:f>
        <x:v>3100</x:v>
      </x:c>
      <x:c r="J3" t="str">
        <x:f>IF(E3="","",IF(I3=0,"Pagado",IF(F3&lt;TODAY(),"Vencido","Pendiente")))</x:f>
        <x:v>Vencido</x:v>
      </x:c>
    </x:row>
    <x:row r="4">
      <x:c r="A4" t="str">
        <x:v>F-1003</x:v>
      </x:c>
      <x:c r="B4" s="8" t="n">
        <x:v>46269</x:v>
      </x:c>
      <x:c r="C4" t="str">
        <x:v>Distribuidora Delta</x:v>
      </x:c>
      <x:c r="D4" t="str">
        <x:v>Servicio comercial</x:v>
      </x:c>
      <x:c r="E4" s="6" t="n">
        <x:v>7900</x:v>
      </x:c>
      <x:c r="F4" s="8" t="n">
        <x:v>46284</x:v>
      </x:c>
      <x:c r="G4" s="8"/>
      <x:c r="H4" s="6" t="n">
        <x:v>0</x:v>
      </x:c>
      <x:c r="I4" s="6" t="n">
        <x:f>IF(E4="","",MAX(0,E4-H4))</x:f>
        <x:v>7900</x:v>
      </x:c>
      <x:c r="J4" t="str">
        <x:f>IF(E4="","",IF(I4=0,"Pagado",IF(F4&lt;TODAY(),"Vencido","Pendiente")))</x:f>
        <x:v>Vencido</x:v>
      </x:c>
    </x:row>
    <x:row r="5">
      <x:c r="A5" t="str">
        <x:v>F-1004</x:v>
      </x:c>
      <x:c r="B5" s="8" t="n">
        <x:v>46270</x:v>
      </x:c>
      <x:c r="C5" t="str">
        <x:v>Grupo Prisma</x:v>
      </x:c>
      <x:c r="D5" t="str">
        <x:v>Servicio comercial</x:v>
      </x:c>
      <x:c r="E5" s="6" t="n">
        <x:v>9600</x:v>
      </x:c>
      <x:c r="F5" s="8" t="n">
        <x:v>46285</x:v>
      </x:c>
      <x:c r="G5" s="8"/>
      <x:c r="H5" s="6" t="n">
        <x:v>0</x:v>
      </x:c>
      <x:c r="I5" s="6" t="n">
        <x:f>IF(E5="","",MAX(0,E5-H5))</x:f>
        <x:v>9600</x:v>
      </x:c>
      <x:c r="J5" t="str">
        <x:f>IF(E5="","",IF(I5=0,"Pagado",IF(F5&lt;TODAY(),"Vencido","Pendiente")))</x:f>
        <x:v>Vencido</x:v>
      </x:c>
    </x:row>
    <x:row r="6">
      <x:c r="A6" t="str">
        <x:v>F-1005</x:v>
      </x:c>
      <x:c r="B6" s="8" t="n">
        <x:v>46271</x:v>
      </x:c>
      <x:c r="C6" t="str">
        <x:v>Soluciones Andina</x:v>
      </x:c>
      <x:c r="D6" t="str">
        <x:v>Servicio comercial</x:v>
      </x:c>
      <x:c r="E6" s="6" t="n">
        <x:v>11300</x:v>
      </x:c>
      <x:c r="F6" s="8" t="n">
        <x:v>46286</x:v>
      </x:c>
      <x:c r="G6" s="8" t="n">
        <x:v>46279</x:v>
      </x:c>
      <x:c r="H6" s="6" t="n">
        <x:v>11300</x:v>
      </x:c>
      <x:c r="I6" s="6" t="n">
        <x:f>IF(E6="","",MAX(0,E6-H6))</x:f>
        <x:v>0</x:v>
      </x:c>
      <x:c r="J6" t="str">
        <x:f>IF(E6="","",IF(I6=0,"Pagado",IF(F6&lt;TODAY(),"Vencido","Pendiente")))</x:f>
        <x:v>Pagado</x:v>
      </x:c>
    </x:row>
    <x:row r="7">
      <x:c r="A7" t="str">
        <x:v>F-1006</x:v>
      </x:c>
      <x:c r="B7" s="8" t="n">
        <x:v>46272</x:v>
      </x:c>
      <x:c r="C7" t="str">
        <x:v>Comercializadora Norte</x:v>
      </x:c>
      <x:c r="D7" t="str">
        <x:v>Servicio comercial</x:v>
      </x:c>
      <x:c r="E7" s="6" t="n">
        <x:v>13000</x:v>
      </x:c>
      <x:c r="F7" s="8" t="n">
        <x:v>46287</x:v>
      </x:c>
      <x:c r="G7" s="8" t="n">
        <x:v>46280</x:v>
      </x:c>
      <x:c r="H7" s="6" t="n">
        <x:v>6500</x:v>
      </x:c>
      <x:c r="I7" s="6" t="n">
        <x:f>IF(E7="","",MAX(0,E7-H7))</x:f>
        <x:v>6500</x:v>
      </x:c>
      <x:c r="J7" t="str">
        <x:f>IF(E7="","",IF(I7=0,"Pagado",IF(F7&lt;TODAY(),"Vencido","Pendiente")))</x:f>
        <x:v>Vencido</x:v>
      </x:c>
    </x:row>
    <x:row r="8">
      <x:c r="A8" t="str">
        <x:v>F-1007</x:v>
      </x:c>
      <x:c r="B8" s="8" t="n">
        <x:v>46273</x:v>
      </x:c>
      <x:c r="C8" t="str">
        <x:v>Grupo Prisma</x:v>
      </x:c>
      <x:c r="D8" t="str">
        <x:v>Servicio comercial</x:v>
      </x:c>
      <x:c r="E8" s="6" t="n">
        <x:v>4500</x:v>
      </x:c>
      <x:c r="F8" s="8" t="n">
        <x:v>46288</x:v>
      </x:c>
      <x:c r="G8" s="8"/>
      <x:c r="H8" s="6" t="n">
        <x:v>0</x:v>
      </x:c>
      <x:c r="I8" s="6" t="n">
        <x:f>IF(E8="","",MAX(0,E8-H8))</x:f>
        <x:v>4500</x:v>
      </x:c>
      <x:c r="J8" t="str">
        <x:f>IF(E8="","",IF(I8=0,"Pagado",IF(F8&lt;TODAY(),"Vencido","Pendiente")))</x:f>
        <x:v>Vencido</x:v>
      </x:c>
    </x:row>
    <x:row r="9">
      <x:c r="A9" t="str">
        <x:v>F-1008</x:v>
      </x:c>
      <x:c r="B9" s="8" t="n">
        <x:v>46274</x:v>
      </x:c>
      <x:c r="C9" t="str">
        <x:v>Servicios Atlas</x:v>
      </x:c>
      <x:c r="D9" t="str">
        <x:v>Servicio comercial</x:v>
      </x:c>
      <x:c r="E9" s="6" t="n">
        <x:v>6200</x:v>
      </x:c>
      <x:c r="F9" s="8" t="n">
        <x:v>46289</x:v>
      </x:c>
      <x:c r="G9" s="8"/>
      <x:c r="H9" s="6" t="n">
        <x:v>0</x:v>
      </x:c>
      <x:c r="I9" s="6" t="n">
        <x:f>IF(E9="","",MAX(0,E9-H9))</x:f>
        <x:v>6200</x:v>
      </x:c>
      <x:c r="J9" t="str">
        <x:f>IF(E9="","",IF(I9=0,"Pagado",IF(F9&lt;TODAY(),"Vencido","Pendiente")))</x:f>
        <x:v>Vencido</x:v>
      </x:c>
    </x:row>
    <x:row r="10">
      <x:c r="A10" t="str">
        <x:v>F-1009</x:v>
      </x:c>
      <x:c r="B10" s="8" t="n">
        <x:v>46275</x:v>
      </x:c>
      <x:c r="C10" t="str">
        <x:v>Distribuidora Delta</x:v>
      </x:c>
      <x:c r="D10" t="str">
        <x:v>Servicio comercial</x:v>
      </x:c>
      <x:c r="E10" s="6" t="n">
        <x:v>7900</x:v>
      </x:c>
      <x:c r="F10" s="8" t="n">
        <x:v>46290</x:v>
      </x:c>
      <x:c r="G10" s="8" t="n">
        <x:v>46283</x:v>
      </x:c>
      <x:c r="H10" s="6" t="n">
        <x:v>7900</x:v>
      </x:c>
      <x:c r="I10" s="6" t="n">
        <x:f>IF(E10="","",MAX(0,E10-H10))</x:f>
        <x:v>0</x:v>
      </x:c>
      <x:c r="J10" t="str">
        <x:f>IF(E10="","",IF(I10=0,"Pagado",IF(F10&lt;TODAY(),"Vencido","Pendiente")))</x:f>
        <x:v>Pagado</x:v>
      </x:c>
    </x:row>
    <x:row r="11">
      <x:c r="A11" t="str">
        <x:v>F-1010</x:v>
      </x:c>
      <x:c r="B11" s="8" t="n">
        <x:v>46276</x:v>
      </x:c>
      <x:c r="C11" t="str">
        <x:v>Soluciones Andina</x:v>
      </x:c>
      <x:c r="D11" t="str">
        <x:v>Servicio comercial</x:v>
      </x:c>
      <x:c r="E11" s="6" t="n">
        <x:v>9600</x:v>
      </x:c>
      <x:c r="F11" s="8" t="n">
        <x:v>46291</x:v>
      </x:c>
      <x:c r="G11" s="8" t="n">
        <x:v>46284</x:v>
      </x:c>
      <x:c r="H11" s="6" t="n">
        <x:v>4800</x:v>
      </x:c>
      <x:c r="I11" s="6" t="n">
        <x:f>IF(E11="","",MAX(0,E11-H11))</x:f>
        <x:v>4800</x:v>
      </x:c>
      <x:c r="J11" t="str">
        <x:f>IF(E11="","",IF(I11=0,"Pagado",IF(F11&lt;TODAY(),"Vencido","Pendiente")))</x:f>
        <x:v>Vencido</x:v>
      </x:c>
    </x:row>
    <x:row r="12">
      <x:c r="A12" t="str">
        <x:v>F-1011</x:v>
      </x:c>
      <x:c r="B12" s="8" t="n">
        <x:v>46277</x:v>
      </x:c>
      <x:c r="C12" t="str">
        <x:v>Grupo Prisma</x:v>
      </x:c>
      <x:c r="D12" t="str">
        <x:v>Servicio comercial</x:v>
      </x:c>
      <x:c r="E12" s="6" t="n">
        <x:v>11300</x:v>
      </x:c>
      <x:c r="F12" s="8" t="n">
        <x:v>46292</x:v>
      </x:c>
      <x:c r="G12" s="8"/>
      <x:c r="H12" s="6" t="n">
        <x:v>0</x:v>
      </x:c>
      <x:c r="I12" s="6" t="n">
        <x:f>IF(E12="","",MAX(0,E12-H12))</x:f>
        <x:v>11300</x:v>
      </x:c>
      <x:c r="J12" t="str">
        <x:f>IF(E12="","",IF(I12=0,"Pagado",IF(F12&lt;TODAY(),"Vencido","Pendiente")))</x:f>
        <x:v>Vencido</x:v>
      </x:c>
    </x:row>
    <x:row r="13">
      <x:c r="A13" t="str">
        <x:v>F-1012</x:v>
      </x:c>
      <x:c r="B13" s="8" t="n">
        <x:v>46278</x:v>
      </x:c>
      <x:c r="C13" t="str">
        <x:v>Comercializadora Norte</x:v>
      </x:c>
      <x:c r="D13" t="str">
        <x:v>Servicio comercial</x:v>
      </x:c>
      <x:c r="E13" s="6" t="n">
        <x:v>13000</x:v>
      </x:c>
      <x:c r="F13" s="8" t="n">
        <x:v>46293</x:v>
      </x:c>
      <x:c r="G13" s="8"/>
      <x:c r="H13" s="6" t="n">
        <x:v>0</x:v>
      </x:c>
      <x:c r="I13" s="6" t="n">
        <x:f>IF(E13="","",MAX(0,E13-H13))</x:f>
        <x:v>13000</x:v>
      </x:c>
      <x:c r="J13" t="str">
        <x:f>IF(E13="","",IF(I13=0,"Pagado",IF(F13&lt;TODAY(),"Vencido","Pendiente")))</x:f>
        <x:v>Vencido</x:v>
      </x:c>
    </x:row>
    <x:row r="14">
      <x:c r="A14" t="str">
        <x:v>F-1013</x:v>
      </x:c>
      <x:c r="B14" s="8" t="n">
        <x:v>46279</x:v>
      </x:c>
      <x:c r="C14" t="str">
        <x:v>Servicios Atlas</x:v>
      </x:c>
      <x:c r="D14" t="str">
        <x:v>Servicio comercial</x:v>
      </x:c>
      <x:c r="E14" s="6" t="n">
        <x:v>4500</x:v>
      </x:c>
      <x:c r="F14" s="8" t="n">
        <x:v>46294</x:v>
      </x:c>
      <x:c r="G14" s="8" t="n">
        <x:v>46287</x:v>
      </x:c>
      <x:c r="H14" s="6" t="n">
        <x:v>4500</x:v>
      </x:c>
      <x:c r="I14" s="6" t="n">
        <x:f>IF(E14="","",MAX(0,E14-H14))</x:f>
        <x:v>0</x:v>
      </x:c>
      <x:c r="J14" t="str">
        <x:f>IF(E14="","",IF(I14=0,"Pagado",IF(F14&lt;TODAY(),"Vencido","Pendiente")))</x:f>
        <x:v>Pagado</x:v>
      </x:c>
    </x:row>
    <x:row r="15">
      <x:c r="A15" t="str">
        <x:v>F-1014</x:v>
      </x:c>
      <x:c r="B15" s="8" t="n">
        <x:v>46280</x:v>
      </x:c>
      <x:c r="C15" t="str">
        <x:v>Distribuidora Delta</x:v>
      </x:c>
      <x:c r="D15" t="str">
        <x:v>Servicio comercial</x:v>
      </x:c>
      <x:c r="E15" s="6" t="n">
        <x:v>6200</x:v>
      </x:c>
      <x:c r="F15" s="8" t="n">
        <x:v>46295</x:v>
      </x:c>
      <x:c r="G15" s="8" t="n">
        <x:v>46288</x:v>
      </x:c>
      <x:c r="H15" s="6" t="n">
        <x:v>3100</x:v>
      </x:c>
      <x:c r="I15" s="6" t="n">
        <x:f>IF(E15="","",MAX(0,E15-H15))</x:f>
        <x:v>3100</x:v>
      </x:c>
      <x:c r="J15" t="str">
        <x:f>IF(E15="","",IF(I15=0,"Pagado",IF(F15&lt;TODAY(),"Vencido","Pendiente")))</x:f>
        <x:v>Vencido</x:v>
      </x:c>
    </x:row>
    <x:row r="16">
      <x:c r="A16" t="str">
        <x:v>F-1015</x:v>
      </x:c>
      <x:c r="B16" s="8" t="n">
        <x:v>46281</x:v>
      </x:c>
      <x:c r="C16" t="str">
        <x:v>Grupo Prisma</x:v>
      </x:c>
      <x:c r="D16" t="str">
        <x:v>Servicio comercial</x:v>
      </x:c>
      <x:c r="E16" s="6" t="n">
        <x:v>7900</x:v>
      </x:c>
      <x:c r="F16" s="8" t="n">
        <x:v>46296</x:v>
      </x:c>
      <x:c r="G16" s="8"/>
      <x:c r="H16" s="6" t="n">
        <x:v>0</x:v>
      </x:c>
      <x:c r="I16" s="6" t="n">
        <x:f>IF(E16="","",MAX(0,E16-H16))</x:f>
        <x:v>7900</x:v>
      </x:c>
      <x:c r="J16" t="str">
        <x:f>IF(E16="","",IF(I16=0,"Pagado",IF(F16&lt;TODAY(),"Vencido","Pendiente")))</x:f>
        <x:v>Vencido</x:v>
      </x:c>
    </x:row>
    <x:row r="17">
      <x:c r="A17" t="str">
        <x:v>F-1016</x:v>
      </x:c>
      <x:c r="B17" s="8" t="n">
        <x:v>46282</x:v>
      </x:c>
      <x:c r="C17" t="str">
        <x:v>Soluciones Andina</x:v>
      </x:c>
      <x:c r="D17" t="str">
        <x:v>Servicio comercial</x:v>
      </x:c>
      <x:c r="E17" s="6" t="n">
        <x:v>9600</x:v>
      </x:c>
      <x:c r="F17" s="8" t="n">
        <x:v>46297</x:v>
      </x:c>
      <x:c r="G17" s="8"/>
      <x:c r="H17" s="6" t="n">
        <x:v>0</x:v>
      </x:c>
      <x:c r="I17" s="6" t="n">
        <x:f>IF(E17="","",MAX(0,E17-H17))</x:f>
        <x:v>9600</x:v>
      </x:c>
      <x:c r="J17" t="str">
        <x:f>IF(E17="","",IF(I17=0,"Pagado",IF(F17&lt;TODAY(),"Vencido","Pendiente")))</x:f>
        <x:v>Vencido</x:v>
      </x:c>
    </x:row>
    <x:row r="18">
      <x:c r="A18" t="str">
        <x:v>F-1017</x:v>
      </x:c>
      <x:c r="B18" s="8" t="n">
        <x:v>46283</x:v>
      </x:c>
      <x:c r="C18" t="str">
        <x:v>Comercializadora Norte</x:v>
      </x:c>
      <x:c r="D18" t="str">
        <x:v>Servicio comercial</x:v>
      </x:c>
      <x:c r="E18" s="6" t="n">
        <x:v>11300</x:v>
      </x:c>
      <x:c r="F18" s="8" t="n">
        <x:v>46298</x:v>
      </x:c>
      <x:c r="G18" s="8" t="n">
        <x:v>46291</x:v>
      </x:c>
      <x:c r="H18" s="6" t="n">
        <x:v>11300</x:v>
      </x:c>
      <x:c r="I18" s="6" t="n">
        <x:f>IF(E18="","",MAX(0,E18-H18))</x:f>
        <x:v>0</x:v>
      </x:c>
      <x:c r="J18" t="str">
        <x:f>IF(E18="","",IF(I18=0,"Pagado",IF(F18&lt;TODAY(),"Vencido","Pendiente")))</x:f>
        <x:v>Pagado</x:v>
      </x:c>
    </x:row>
    <x:row r="19">
      <x:c r="A19" t="str">
        <x:v>F-1018</x:v>
      </x:c>
      <x:c r="B19" s="8" t="n">
        <x:v>46284</x:v>
      </x:c>
      <x:c r="C19" t="str">
        <x:v>Servicios Atlas</x:v>
      </x:c>
      <x:c r="D19" t="str">
        <x:v>Servicio comercial</x:v>
      </x:c>
      <x:c r="E19" s="6" t="n">
        <x:v>13000</x:v>
      </x:c>
      <x:c r="F19" s="8" t="n">
        <x:v>46299</x:v>
      </x:c>
      <x:c r="G19" s="8" t="n">
        <x:v>46292</x:v>
      </x:c>
      <x:c r="H19" s="6" t="n">
        <x:v>6500</x:v>
      </x:c>
      <x:c r="I19" s="6" t="n">
        <x:f>IF(E19="","",MAX(0,E19-H19))</x:f>
        <x:v>6500</x:v>
      </x:c>
      <x:c r="J19" t="str">
        <x:f>IF(E19="","",IF(I19=0,"Pagado",IF(F19&lt;TODAY(),"Vencido","Pendiente")))</x:f>
        <x:v>Vencido</x:v>
      </x:c>
    </x:row>
    <x:row r="20">
      <x:c r="A20" t="str">
        <x:v>F-1019</x:v>
      </x:c>
      <x:c r="B20" s="8" t="n">
        <x:v>46267</x:v>
      </x:c>
      <x:c r="C20" t="str">
        <x:v>Distribuidora Delta</x:v>
      </x:c>
      <x:c r="D20" t="str">
        <x:v>Servicio comercial</x:v>
      </x:c>
      <x:c r="E20" s="6" t="n">
        <x:v>4500</x:v>
      </x:c>
      <x:c r="F20" s="8" t="n">
        <x:v>46282</x:v>
      </x:c>
      <x:c r="G20" s="8"/>
      <x:c r="H20" s="6" t="n">
        <x:v>0</x:v>
      </x:c>
      <x:c r="I20" s="6" t="n">
        <x:f>IF(E20="","",MAX(0,E20-H20))</x:f>
        <x:v>4500</x:v>
      </x:c>
      <x:c r="J20" t="str">
        <x:f>IF(E20="","",IF(I20=0,"Pagado",IF(F20&lt;TODAY(),"Vencido","Pendiente")))</x:f>
        <x:v>Vencido</x:v>
      </x:c>
    </x:row>
    <x:row r="21">
      <x:c r="A21" t="str">
        <x:v>F-1020</x:v>
      </x:c>
      <x:c r="B21" s="8" t="n">
        <x:v>46268</x:v>
      </x:c>
      <x:c r="C21" t="str">
        <x:v>Grupo Prisma</x:v>
      </x:c>
      <x:c r="D21" t="str">
        <x:v>Servicio comercial</x:v>
      </x:c>
      <x:c r="E21" s="6" t="n">
        <x:v>6200</x:v>
      </x:c>
      <x:c r="F21" s="8" t="n">
        <x:v>46283</x:v>
      </x:c>
      <x:c r="G21" s="8"/>
      <x:c r="H21" s="6" t="n">
        <x:v>0</x:v>
      </x:c>
      <x:c r="I21" s="6" t="n">
        <x:f>IF(E21="","",MAX(0,E21-H21))</x:f>
        <x:v>6200</x:v>
      </x:c>
      <x:c r="J21" t="str">
        <x:f>IF(E21="","",IF(I21=0,"Pagado",IF(F21&lt;TODAY(),"Vencido","Pendiente")))</x:f>
        <x:v>Vencido</x:v>
      </x:c>
    </x:row>
    <x:row r="22">
      <x:c r="B22" s="8"/>
      <x:c r="E22" s="6"/>
      <x:c r="F22" s="8"/>
      <x:c r="G22" s="8"/>
      <x:c r="H22" s="6"/>
      <x:c r="I22" s="6" t="str">
        <x:f>IF(E22="","",MAX(0,E22-H22))</x:f>
      </x:c>
      <x:c r="J22" t="str">
        <x:f>IF(E22="","",IF(I22=0,"Pagado",IF(F22&lt;TODAY(),"Vencido","Pendiente")))</x:f>
      </x:c>
    </x:row>
    <x:row r="23">
      <x:c r="B23" s="8"/>
      <x:c r="E23" s="6"/>
      <x:c r="F23" s="8"/>
      <x:c r="G23" s="8"/>
      <x:c r="H23" s="6"/>
      <x:c r="I23" s="6" t="str">
        <x:f>IF(E23="","",MAX(0,E23-H23))</x:f>
      </x:c>
      <x:c r="J23" t="str">
        <x:f>IF(E23="","",IF(I23=0,"Pagado",IF(F23&lt;TODAY(),"Vencido","Pendiente")))</x:f>
      </x:c>
    </x:row>
    <x:row r="24">
      <x:c r="B24" s="8"/>
      <x:c r="E24" s="6"/>
      <x:c r="F24" s="8"/>
      <x:c r="G24" s="8"/>
      <x:c r="H24" s="6"/>
      <x:c r="I24" s="6" t="str">
        <x:f>IF(E24="","",MAX(0,E24-H24))</x:f>
      </x:c>
      <x:c r="J24" t="str">
        <x:f>IF(E24="","",IF(I24=0,"Pagado",IF(F24&lt;TODAY(),"Vencido","Pendiente")))</x:f>
      </x:c>
    </x:row>
    <x:row r="25">
      <x:c r="B25" s="8"/>
      <x:c r="E25" s="6"/>
      <x:c r="F25" s="8"/>
      <x:c r="G25" s="8"/>
      <x:c r="H25" s="6"/>
      <x:c r="I25" s="6" t="str">
        <x:f>IF(E25="","",MAX(0,E25-H25))</x:f>
      </x:c>
      <x:c r="J25" t="str">
        <x:f>IF(E25="","",IF(I25=0,"Pagado",IF(F25&lt;TODAY(),"Vencido","Pendiente")))</x:f>
      </x:c>
    </x:row>
    <x:row r="26">
      <x:c r="B26" s="8"/>
      <x:c r="E26" s="6"/>
      <x:c r="F26" s="8"/>
      <x:c r="G26" s="8"/>
      <x:c r="H26" s="6"/>
      <x:c r="I26" s="6" t="str">
        <x:f>IF(E26="","",MAX(0,E26-H26))</x:f>
      </x:c>
      <x:c r="J26" t="str">
        <x:f>IF(E26="","",IF(I26=0,"Pagado",IF(F26&lt;TODAY(),"Vencido","Pendiente")))</x:f>
      </x:c>
    </x:row>
    <x:row r="27">
      <x:c r="B27" s="8"/>
      <x:c r="E27" s="6"/>
      <x:c r="F27" s="8"/>
      <x:c r="G27" s="8"/>
      <x:c r="H27" s="6"/>
      <x:c r="I27" s="6" t="str">
        <x:f>IF(E27="","",MAX(0,E27-H27))</x:f>
      </x:c>
      <x:c r="J27" t="str">
        <x:f>IF(E27="","",IF(I27=0,"Pagado",IF(F27&lt;TODAY(),"Vencido","Pendiente")))</x:f>
      </x:c>
    </x:row>
    <x:row r="28">
      <x:c r="B28" s="8"/>
      <x:c r="E28" s="6"/>
      <x:c r="F28" s="8"/>
      <x:c r="G28" s="8"/>
      <x:c r="H28" s="6"/>
      <x:c r="I28" s="6" t="str">
        <x:f>IF(E28="","",MAX(0,E28-H28))</x:f>
      </x:c>
      <x:c r="J28" t="str">
        <x:f>IF(E28="","",IF(I28=0,"Pagado",IF(F28&lt;TODAY(),"Vencido","Pendiente")))</x:f>
      </x:c>
    </x:row>
    <x:row r="29">
      <x:c r="B29" s="8"/>
      <x:c r="E29" s="6"/>
      <x:c r="F29" s="8"/>
      <x:c r="G29" s="8"/>
      <x:c r="H29" s="6"/>
      <x:c r="I29" s="6" t="str">
        <x:f>IF(E29="","",MAX(0,E29-H29))</x:f>
      </x:c>
      <x:c r="J29" t="str">
        <x:f>IF(E29="","",IF(I29=0,"Pagado",IF(F29&lt;TODAY(),"Vencido","Pendiente")))</x:f>
      </x:c>
    </x:row>
    <x:row r="30">
      <x:c r="B30" s="8"/>
      <x:c r="E30" s="6"/>
      <x:c r="F30" s="8"/>
      <x:c r="G30" s="8"/>
      <x:c r="H30" s="6"/>
      <x:c r="I30" s="6" t="str">
        <x:f>IF(E30="","",MAX(0,E30-H30))</x:f>
      </x:c>
      <x:c r="J30" t="str">
        <x:f>IF(E30="","",IF(I30=0,"Pagado",IF(F30&lt;TODAY(),"Vencido","Pendiente")))</x:f>
      </x:c>
    </x:row>
    <x:row r="31">
      <x:c r="B31" s="8"/>
      <x:c r="E31" s="6"/>
      <x:c r="F31" s="8"/>
      <x:c r="G31" s="8"/>
      <x:c r="H31" s="6"/>
      <x:c r="I31" s="6" t="str">
        <x:f>IF(E31="","",MAX(0,E31-H31))</x:f>
      </x:c>
      <x:c r="J31" t="str">
        <x:f>IF(E31="","",IF(I31=0,"Pagado",IF(F31&lt;TODAY(),"Vencido","Pendiente")))</x:f>
      </x:c>
    </x:row>
    <x:row r="32">
      <x:c r="B32" s="8"/>
      <x:c r="E32" s="6"/>
      <x:c r="F32" s="8"/>
      <x:c r="G32" s="8"/>
      <x:c r="H32" s="6"/>
      <x:c r="I32" s="6" t="str">
        <x:f>IF(E32="","",MAX(0,E32-H32))</x:f>
      </x:c>
      <x:c r="J32" t="str">
        <x:f>IF(E32="","",IF(I32=0,"Pagado",IF(F32&lt;TODAY(),"Vencido","Pendiente")))</x:f>
      </x:c>
    </x:row>
    <x:row r="33">
      <x:c r="B33" s="8"/>
      <x:c r="E33" s="6"/>
      <x:c r="F33" s="8"/>
      <x:c r="G33" s="8"/>
      <x:c r="H33" s="6"/>
      <x:c r="I33" s="6" t="str">
        <x:f>IF(E33="","",MAX(0,E33-H33))</x:f>
      </x:c>
      <x:c r="J33" t="str">
        <x:f>IF(E33="","",IF(I33=0,"Pagado",IF(F33&lt;TODAY(),"Vencido","Pendiente")))</x:f>
      </x:c>
    </x:row>
    <x:row r="34">
      <x:c r="B34" s="8"/>
      <x:c r="E34" s="6"/>
      <x:c r="F34" s="8"/>
      <x:c r="G34" s="8"/>
      <x:c r="H34" s="6"/>
      <x:c r="I34" s="6" t="str">
        <x:f>IF(E34="","",MAX(0,E34-H34))</x:f>
      </x:c>
      <x:c r="J34" t="str">
        <x:f>IF(E34="","",IF(I34=0,"Pagado",IF(F34&lt;TODAY(),"Vencido","Pendiente")))</x:f>
      </x:c>
    </x:row>
    <x:row r="35">
      <x:c r="B35" s="8"/>
      <x:c r="E35" s="6"/>
      <x:c r="F35" s="8"/>
      <x:c r="G35" s="8"/>
      <x:c r="H35" s="6"/>
      <x:c r="I35" s="6" t="str">
        <x:f>IF(E35="","",MAX(0,E35-H35))</x:f>
      </x:c>
      <x:c r="J35" t="str">
        <x:f>IF(E35="","",IF(I35=0,"Pagado",IF(F35&lt;TODAY(),"Vencido","Pendiente")))</x:f>
      </x:c>
    </x:row>
    <x:row r="36">
      <x:c r="B36" s="8"/>
      <x:c r="E36" s="6"/>
      <x:c r="F36" s="8"/>
      <x:c r="G36" s="8"/>
      <x:c r="H36" s="6"/>
      <x:c r="I36" s="6" t="str">
        <x:f>IF(E36="","",MAX(0,E36-H36))</x:f>
      </x:c>
      <x:c r="J36" t="str">
        <x:f>IF(E36="","",IF(I36=0,"Pagado",IF(F36&lt;TODAY(),"Vencido","Pendiente")))</x:f>
      </x:c>
    </x:row>
    <x:row r="37">
      <x:c r="B37" s="8"/>
      <x:c r="E37" s="6"/>
      <x:c r="F37" s="8"/>
      <x:c r="G37" s="8"/>
      <x:c r="H37" s="6"/>
      <x:c r="I37" s="6" t="str">
        <x:f>IF(E37="","",MAX(0,E37-H37))</x:f>
      </x:c>
      <x:c r="J37" t="str">
        <x:f>IF(E37="","",IF(I37=0,"Pagado",IF(F37&lt;TODAY(),"Vencido","Pendiente")))</x:f>
      </x:c>
    </x:row>
    <x:row r="38">
      <x:c r="B38" s="8"/>
      <x:c r="E38" s="6"/>
      <x:c r="F38" s="8"/>
      <x:c r="G38" s="8"/>
      <x:c r="H38" s="6"/>
      <x:c r="I38" s="6" t="str">
        <x:f>IF(E38="","",MAX(0,E38-H38))</x:f>
      </x:c>
      <x:c r="J38" t="str">
        <x:f>IF(E38="","",IF(I38=0,"Pagado",IF(F38&lt;TODAY(),"Vencido","Pendiente")))</x:f>
      </x:c>
    </x:row>
    <x:row r="39">
      <x:c r="B39" s="8"/>
      <x:c r="E39" s="6"/>
      <x:c r="F39" s="8"/>
      <x:c r="G39" s="8"/>
      <x:c r="H39" s="6"/>
      <x:c r="I39" s="6" t="str">
        <x:f>IF(E39="","",MAX(0,E39-H39))</x:f>
      </x:c>
      <x:c r="J39" t="str">
        <x:f>IF(E39="","",IF(I39=0,"Pagado",IF(F39&lt;TODAY(),"Vencido","Pendiente")))</x:f>
      </x:c>
    </x:row>
    <x:row r="40">
      <x:c r="B40" s="8"/>
      <x:c r="E40" s="6"/>
      <x:c r="F40" s="8"/>
      <x:c r="G40" s="8"/>
      <x:c r="H40" s="6"/>
      <x:c r="I40" s="6" t="str">
        <x:f>IF(E40="","",MAX(0,E40-H40))</x:f>
      </x:c>
      <x:c r="J40" t="str">
        <x:f>IF(E40="","",IF(I40=0,"Pagado",IF(F40&lt;TODAY(),"Vencido","Pendiente")))</x:f>
      </x:c>
    </x:row>
    <x:row r="41">
      <x:c r="B41" s="8"/>
      <x:c r="E41" s="6"/>
      <x:c r="F41" s="8"/>
      <x:c r="G41" s="8"/>
      <x:c r="H41" s="6"/>
      <x:c r="I41" s="6" t="str">
        <x:f>IF(E41="","",MAX(0,E41-H41))</x:f>
      </x:c>
      <x:c r="J41" t="str">
        <x:f>IF(E41="","",IF(I41=0,"Pagado",IF(F41&lt;TODAY(),"Vencido","Pendiente")))</x:f>
      </x:c>
    </x:row>
    <x:row r="42">
      <x:c r="B42" s="8"/>
      <x:c r="E42" s="6"/>
      <x:c r="F42" s="8"/>
      <x:c r="G42" s="8"/>
      <x:c r="H42" s="6"/>
      <x:c r="I42" s="6" t="str">
        <x:f>IF(E42="","",MAX(0,E42-H42))</x:f>
      </x:c>
      <x:c r="J42" t="str">
        <x:f>IF(E42="","",IF(I42=0,"Pagado",IF(F42&lt;TODAY(),"Vencido","Pendiente")))</x:f>
      </x:c>
    </x:row>
    <x:row r="43">
      <x:c r="B43" s="8"/>
      <x:c r="E43" s="6"/>
      <x:c r="F43" s="8"/>
      <x:c r="G43" s="8"/>
      <x:c r="H43" s="6"/>
      <x:c r="I43" s="6" t="str">
        <x:f>IF(E43="","",MAX(0,E43-H43))</x:f>
      </x:c>
      <x:c r="J43" t="str">
        <x:f>IF(E43="","",IF(I43=0,"Pagado",IF(F43&lt;TODAY(),"Vencido","Pendiente")))</x:f>
      </x:c>
    </x:row>
    <x:row r="44">
      <x:c r="B44" s="8"/>
      <x:c r="E44" s="6"/>
      <x:c r="F44" s="8"/>
      <x:c r="G44" s="8"/>
      <x:c r="H44" s="6"/>
      <x:c r="I44" s="6" t="str">
        <x:f>IF(E44="","",MAX(0,E44-H44))</x:f>
      </x:c>
      <x:c r="J44" t="str">
        <x:f>IF(E44="","",IF(I44=0,"Pagado",IF(F44&lt;TODAY(),"Vencido","Pendiente")))</x:f>
      </x:c>
    </x:row>
    <x:row r="45">
      <x:c r="B45" s="8"/>
      <x:c r="E45" s="6"/>
      <x:c r="F45" s="8"/>
      <x:c r="G45" s="8"/>
      <x:c r="H45" s="6"/>
      <x:c r="I45" s="6" t="str">
        <x:f>IF(E45="","",MAX(0,E45-H45))</x:f>
      </x:c>
      <x:c r="J45" t="str">
        <x:f>IF(E45="","",IF(I45=0,"Pagado",IF(F45&lt;TODAY(),"Vencido","Pendiente")))</x:f>
      </x:c>
    </x:row>
    <x:row r="46">
      <x:c r="B46" s="8"/>
      <x:c r="E46" s="6"/>
      <x:c r="F46" s="8"/>
      <x:c r="G46" s="8"/>
      <x:c r="H46" s="6"/>
      <x:c r="I46" s="6" t="str">
        <x:f>IF(E46="","",MAX(0,E46-H46))</x:f>
      </x:c>
      <x:c r="J46" t="str">
        <x:f>IF(E46="","",IF(I46=0,"Pagado",IF(F46&lt;TODAY(),"Vencido","Pendiente")))</x:f>
      </x:c>
    </x:row>
    <x:row r="47">
      <x:c r="B47" s="8"/>
      <x:c r="E47" s="6"/>
      <x:c r="F47" s="8"/>
      <x:c r="G47" s="8"/>
      <x:c r="H47" s="6"/>
      <x:c r="I47" s="6" t="str">
        <x:f>IF(E47="","",MAX(0,E47-H47))</x:f>
      </x:c>
      <x:c r="J47" t="str">
        <x:f>IF(E47="","",IF(I47=0,"Pagado",IF(F47&lt;TODAY(),"Vencido","Pendiente")))</x:f>
      </x:c>
    </x:row>
    <x:row r="48">
      <x:c r="B48" s="8"/>
      <x:c r="E48" s="6"/>
      <x:c r="F48" s="8"/>
      <x:c r="G48" s="8"/>
      <x:c r="H48" s="6"/>
      <x:c r="I48" s="6" t="str">
        <x:f>IF(E48="","",MAX(0,E48-H48))</x:f>
      </x:c>
      <x:c r="J48" t="str">
        <x:f>IF(E48="","",IF(I48=0,"Pagado",IF(F48&lt;TODAY(),"Vencido","Pendiente")))</x:f>
      </x:c>
    </x:row>
    <x:row r="49">
      <x:c r="B49" s="8"/>
      <x:c r="E49" s="6"/>
      <x:c r="F49" s="8"/>
      <x:c r="G49" s="8"/>
      <x:c r="H49" s="6"/>
      <x:c r="I49" s="6" t="str">
        <x:f>IF(E49="","",MAX(0,E49-H49))</x:f>
      </x:c>
      <x:c r="J49" t="str">
        <x:f>IF(E49="","",IF(I49=0,"Pagado",IF(F49&lt;TODAY(),"Vencido","Pendiente")))</x:f>
      </x:c>
    </x:row>
    <x:row r="50">
      <x:c r="B50" s="8"/>
      <x:c r="E50" s="6"/>
      <x:c r="F50" s="8"/>
      <x:c r="G50" s="8"/>
      <x:c r="H50" s="6"/>
      <x:c r="I50" s="6" t="str">
        <x:f>IF(E50="","",MAX(0,E50-H50))</x:f>
      </x:c>
      <x:c r="J50" t="str">
        <x:f>IF(E50="","",IF(I50=0,"Pagado",IF(F50&lt;TODAY(),"Vencido","Pendiente")))</x:f>
      </x:c>
    </x:row>
    <x:row r="51">
      <x:c r="B51" s="8"/>
      <x:c r="E51" s="6"/>
      <x:c r="F51" s="8"/>
      <x:c r="G51" s="8"/>
      <x:c r="H51" s="6"/>
      <x:c r="I51" s="6" t="str">
        <x:f>IF(E51="","",MAX(0,E51-H51))</x:f>
      </x:c>
      <x:c r="J51" t="str">
        <x:f>IF(E51="","",IF(I51=0,"Pagado",IF(F51&lt;TODAY(),"Vencido","Pendiente")))</x:f>
      </x:c>
    </x:row>
    <x:row r="52">
      <x:c r="B52" s="8"/>
      <x:c r="E52" s="6"/>
      <x:c r="F52" s="8"/>
      <x:c r="G52" s="8"/>
      <x:c r="H52" s="6"/>
      <x:c r="I52" s="6" t="str">
        <x:f>IF(E52="","",MAX(0,E52-H52))</x:f>
      </x:c>
      <x:c r="J52" t="str">
        <x:f>IF(E52="","",IF(I52=0,"Pagado",IF(F52&lt;TODAY(),"Vencido","Pendiente")))</x:f>
      </x:c>
    </x:row>
    <x:row r="53">
      <x:c r="B53" s="8"/>
      <x:c r="E53" s="6"/>
      <x:c r="F53" s="8"/>
      <x:c r="G53" s="8"/>
      <x:c r="H53" s="6"/>
      <x:c r="I53" s="6" t="str">
        <x:f>IF(E53="","",MAX(0,E53-H53))</x:f>
      </x:c>
      <x:c r="J53" t="str">
        <x:f>IF(E53="","",IF(I53=0,"Pagado",IF(F53&lt;TODAY(),"Vencido","Pendiente")))</x:f>
      </x:c>
    </x:row>
    <x:row r="54">
      <x:c r="B54" s="8"/>
      <x:c r="E54" s="6"/>
      <x:c r="F54" s="8"/>
      <x:c r="G54" s="8"/>
      <x:c r="H54" s="6"/>
      <x:c r="I54" s="6" t="str">
        <x:f>IF(E54="","",MAX(0,E54-H54))</x:f>
      </x:c>
      <x:c r="J54" t="str">
        <x:f>IF(E54="","",IF(I54=0,"Pagado",IF(F54&lt;TODAY(),"Vencido","Pendiente")))</x:f>
      </x:c>
    </x:row>
    <x:row r="55">
      <x:c r="B55" s="8"/>
      <x:c r="E55" s="6"/>
      <x:c r="F55" s="8"/>
      <x:c r="G55" s="8"/>
      <x:c r="H55" s="6"/>
      <x:c r="I55" s="6" t="str">
        <x:f>IF(E55="","",MAX(0,E55-H55))</x:f>
      </x:c>
      <x:c r="J55" t="str">
        <x:f>IF(E55="","",IF(I55=0,"Pagado",IF(F55&lt;TODAY(),"Vencido","Pendiente")))</x:f>
      </x:c>
    </x:row>
    <x:row r="56">
      <x:c r="B56" s="8"/>
      <x:c r="E56" s="6"/>
      <x:c r="F56" s="8"/>
      <x:c r="G56" s="8"/>
      <x:c r="H56" s="6"/>
      <x:c r="I56" s="6" t="str">
        <x:f>IF(E56="","",MAX(0,E56-H56))</x:f>
      </x:c>
      <x:c r="J56" t="str">
        <x:f>IF(E56="","",IF(I56=0,"Pagado",IF(F56&lt;TODAY(),"Vencido","Pendiente")))</x:f>
      </x:c>
    </x:row>
    <x:row r="57">
      <x:c r="B57" s="8"/>
      <x:c r="E57" s="6"/>
      <x:c r="F57" s="8"/>
      <x:c r="G57" s="8"/>
      <x:c r="H57" s="6"/>
      <x:c r="I57" s="6" t="str">
        <x:f>IF(E57="","",MAX(0,E57-H57))</x:f>
      </x:c>
      <x:c r="J57" t="str">
        <x:f>IF(E57="","",IF(I57=0,"Pagado",IF(F57&lt;TODAY(),"Vencido","Pendiente")))</x:f>
      </x:c>
    </x:row>
    <x:row r="58">
      <x:c r="B58" s="8"/>
      <x:c r="E58" s="6"/>
      <x:c r="F58" s="8"/>
      <x:c r="G58" s="8"/>
      <x:c r="H58" s="6"/>
      <x:c r="I58" s="6" t="str">
        <x:f>IF(E58="","",MAX(0,E58-H58))</x:f>
      </x:c>
      <x:c r="J58" t="str">
        <x:f>IF(E58="","",IF(I58=0,"Pagado",IF(F58&lt;TODAY(),"Vencido","Pendiente")))</x:f>
      </x:c>
    </x:row>
    <x:row r="59">
      <x:c r="B59" s="8"/>
      <x:c r="E59" s="6"/>
      <x:c r="F59" s="8"/>
      <x:c r="G59" s="8"/>
      <x:c r="H59" s="6"/>
      <x:c r="I59" s="6" t="str">
        <x:f>IF(E59="","",MAX(0,E59-H59))</x:f>
      </x:c>
      <x:c r="J59" t="str">
        <x:f>IF(E59="","",IF(I59=0,"Pagado",IF(F59&lt;TODAY(),"Vencido","Pendiente")))</x:f>
      </x:c>
    </x:row>
    <x:row r="60">
      <x:c r="B60" s="8"/>
      <x:c r="E60" s="6"/>
      <x:c r="F60" s="8"/>
      <x:c r="G60" s="8"/>
      <x:c r="H60" s="6"/>
      <x:c r="I60" s="6" t="str">
        <x:f>IF(E60="","",MAX(0,E60-H60))</x:f>
      </x:c>
      <x:c r="J60" t="str">
        <x:f>IF(E60="","",IF(I60=0,"Pagado",IF(F60&lt;TODAY(),"Vencido","Pendiente")))</x:f>
      </x:c>
    </x:row>
    <x:row r="61">
      <x:c r="B61" s="8"/>
      <x:c r="E61" s="6"/>
      <x:c r="F61" s="8"/>
      <x:c r="G61" s="8"/>
      <x:c r="H61" s="6"/>
      <x:c r="I61" s="6" t="str">
        <x:f>IF(E61="","",MAX(0,E61-H61))</x:f>
      </x:c>
      <x:c r="J61" t="str">
        <x:f>IF(E61="","",IF(I61=0,"Pagado",IF(F61&lt;TODAY(),"Vencido","Pendiente")))</x:f>
      </x:c>
    </x:row>
    <x:row r="62">
      <x:c r="B62" s="8"/>
      <x:c r="E62" s="6"/>
      <x:c r="F62" s="8"/>
      <x:c r="G62" s="8"/>
      <x:c r="H62" s="6"/>
      <x:c r="I62" s="6" t="str">
        <x:f>IF(E62="","",MAX(0,E62-H62))</x:f>
      </x:c>
      <x:c r="J62" t="str">
        <x:f>IF(E62="","",IF(I62=0,"Pagado",IF(F62&lt;TODAY(),"Vencido","Pendiente")))</x:f>
      </x:c>
    </x:row>
    <x:row r="63">
      <x:c r="B63" s="8"/>
      <x:c r="E63" s="6"/>
      <x:c r="F63" s="8"/>
      <x:c r="G63" s="8"/>
      <x:c r="H63" s="6"/>
      <x:c r="I63" s="6" t="str">
        <x:f>IF(E63="","",MAX(0,E63-H63))</x:f>
      </x:c>
      <x:c r="J63" t="str">
        <x:f>IF(E63="","",IF(I63=0,"Pagado",IF(F63&lt;TODAY(),"Vencido","Pendiente")))</x:f>
      </x:c>
    </x:row>
    <x:row r="64">
      <x:c r="B64" s="8"/>
      <x:c r="E64" s="6"/>
      <x:c r="F64" s="8"/>
      <x:c r="G64" s="8"/>
      <x:c r="H64" s="6"/>
      <x:c r="I64" s="6" t="str">
        <x:f>IF(E64="","",MAX(0,E64-H64))</x:f>
      </x:c>
      <x:c r="J64" t="str">
        <x:f>IF(E64="","",IF(I64=0,"Pagado",IF(F64&lt;TODAY(),"Vencido","Pendiente")))</x:f>
      </x:c>
    </x:row>
    <x:row r="65">
      <x:c r="B65" s="8"/>
      <x:c r="E65" s="6"/>
      <x:c r="F65" s="8"/>
      <x:c r="G65" s="8"/>
      <x:c r="H65" s="6"/>
      <x:c r="I65" s="6" t="str">
        <x:f>IF(E65="","",MAX(0,E65-H65))</x:f>
      </x:c>
      <x:c r="J65" t="str">
        <x:f>IF(E65="","",IF(I65=0,"Pagado",IF(F65&lt;TODAY(),"Vencido","Pendiente")))</x:f>
      </x:c>
    </x:row>
    <x:row r="66">
      <x:c r="B66" s="8"/>
      <x:c r="E66" s="6"/>
      <x:c r="F66" s="8"/>
      <x:c r="G66" s="8"/>
      <x:c r="H66" s="6"/>
      <x:c r="I66" s="6" t="str">
        <x:f>IF(E66="","",MAX(0,E66-H66))</x:f>
      </x:c>
      <x:c r="J66" t="str">
        <x:f>IF(E66="","",IF(I66=0,"Pagado",IF(F66&lt;TODAY(),"Vencido","Pendiente")))</x:f>
      </x:c>
    </x:row>
    <x:row r="67">
      <x:c r="B67" s="8"/>
      <x:c r="E67" s="6"/>
      <x:c r="F67" s="8"/>
      <x:c r="G67" s="8"/>
      <x:c r="H67" s="6"/>
      <x:c r="I67" s="6" t="str">
        <x:f>IF(E67="","",MAX(0,E67-H67))</x:f>
      </x:c>
      <x:c r="J67" t="str">
        <x:f>IF(E67="","",IF(I67=0,"Pagado",IF(F67&lt;TODAY(),"Vencido","Pendiente")))</x:f>
      </x:c>
    </x:row>
    <x:row r="68">
      <x:c r="B68" s="8"/>
      <x:c r="E68" s="6"/>
      <x:c r="F68" s="8"/>
      <x:c r="G68" s="8"/>
      <x:c r="H68" s="6"/>
      <x:c r="I68" s="6" t="str">
        <x:f>IF(E68="","",MAX(0,E68-H68))</x:f>
      </x:c>
      <x:c r="J68" t="str">
        <x:f>IF(E68="","",IF(I68=0,"Pagado",IF(F68&lt;TODAY(),"Vencido","Pendiente")))</x:f>
      </x:c>
    </x:row>
    <x:row r="69">
      <x:c r="B69" s="8"/>
      <x:c r="E69" s="6"/>
      <x:c r="F69" s="8"/>
      <x:c r="G69" s="8"/>
      <x:c r="H69" s="6"/>
      <x:c r="I69" s="6" t="str">
        <x:f>IF(E69="","",MAX(0,E69-H69))</x:f>
      </x:c>
      <x:c r="J69" t="str">
        <x:f>IF(E69="","",IF(I69=0,"Pagado",IF(F69&lt;TODAY(),"Vencido","Pendiente")))</x:f>
      </x:c>
    </x:row>
    <x:row r="70">
      <x:c r="B70" s="8"/>
      <x:c r="E70" s="6"/>
      <x:c r="F70" s="8"/>
      <x:c r="G70" s="8"/>
      <x:c r="H70" s="6"/>
      <x:c r="I70" s="6" t="str">
        <x:f>IF(E70="","",MAX(0,E70-H70))</x:f>
      </x:c>
      <x:c r="J70" t="str">
        <x:f>IF(E70="","",IF(I70=0,"Pagado",IF(F70&lt;TODAY(),"Vencido","Pendiente")))</x:f>
      </x:c>
    </x:row>
    <x:row r="71">
      <x:c r="B71" s="8"/>
      <x:c r="E71" s="6"/>
      <x:c r="F71" s="8"/>
      <x:c r="G71" s="8"/>
      <x:c r="H71" s="6"/>
      <x:c r="I71" s="6" t="str">
        <x:f>IF(E71="","",MAX(0,E71-H71))</x:f>
      </x:c>
      <x:c r="J71" t="str">
        <x:f>IF(E71="","",IF(I71=0,"Pagado",IF(F71&lt;TODAY(),"Vencido","Pendiente")))</x:f>
      </x:c>
    </x:row>
    <x:row r="72">
      <x:c r="B72" s="8"/>
      <x:c r="E72" s="6"/>
      <x:c r="F72" s="8"/>
      <x:c r="G72" s="8"/>
      <x:c r="H72" s="6"/>
      <x:c r="I72" s="6" t="str">
        <x:f>IF(E72="","",MAX(0,E72-H72))</x:f>
      </x:c>
      <x:c r="J72" t="str">
        <x:f>IF(E72="","",IF(I72=0,"Pagado",IF(F72&lt;TODAY(),"Vencido","Pendiente")))</x:f>
      </x:c>
    </x:row>
    <x:row r="73">
      <x:c r="B73" s="8"/>
      <x:c r="E73" s="6"/>
      <x:c r="F73" s="8"/>
      <x:c r="G73" s="8"/>
      <x:c r="H73" s="6"/>
      <x:c r="I73" s="6" t="str">
        <x:f>IF(E73="","",MAX(0,E73-H73))</x:f>
      </x:c>
      <x:c r="J73" t="str">
        <x:f>IF(E73="","",IF(I73=0,"Pagado",IF(F73&lt;TODAY(),"Vencido","Pendiente")))</x:f>
      </x:c>
    </x:row>
    <x:row r="74">
      <x:c r="B74" s="8"/>
      <x:c r="E74" s="6"/>
      <x:c r="F74" s="8"/>
      <x:c r="G74" s="8"/>
      <x:c r="H74" s="6"/>
      <x:c r="I74" s="6" t="str">
        <x:f>IF(E74="","",MAX(0,E74-H74))</x:f>
      </x:c>
      <x:c r="J74" t="str">
        <x:f>IF(E74="","",IF(I74=0,"Pagado",IF(F74&lt;TODAY(),"Vencido","Pendiente")))</x:f>
      </x:c>
    </x:row>
    <x:row r="75">
      <x:c r="B75" s="8"/>
      <x:c r="E75" s="6"/>
      <x:c r="F75" s="8"/>
      <x:c r="G75" s="8"/>
      <x:c r="H75" s="6"/>
      <x:c r="I75" s="6" t="str">
        <x:f>IF(E75="","",MAX(0,E75-H75))</x:f>
      </x:c>
      <x:c r="J75" t="str">
        <x:f>IF(E75="","",IF(I75=0,"Pagado",IF(F75&lt;TODAY(),"Vencido","Pendiente")))</x:f>
      </x:c>
    </x:row>
    <x:row r="76">
      <x:c r="B76" s="8"/>
      <x:c r="E76" s="6"/>
      <x:c r="F76" s="8"/>
      <x:c r="G76" s="8"/>
      <x:c r="H76" s="6"/>
      <x:c r="I76" s="6" t="str">
        <x:f>IF(E76="","",MAX(0,E76-H76))</x:f>
      </x:c>
      <x:c r="J76" t="str">
        <x:f>IF(E76="","",IF(I76=0,"Pagado",IF(F76&lt;TODAY(),"Vencido","Pendiente")))</x:f>
      </x:c>
    </x:row>
    <x:row r="77">
      <x:c r="B77" s="8"/>
      <x:c r="E77" s="6"/>
      <x:c r="F77" s="8"/>
      <x:c r="G77" s="8"/>
      <x:c r="H77" s="6"/>
      <x:c r="I77" s="6" t="str">
        <x:f>IF(E77="","",MAX(0,E77-H77))</x:f>
      </x:c>
      <x:c r="J77" t="str">
        <x:f>IF(E77="","",IF(I77=0,"Pagado",IF(F77&lt;TODAY(),"Vencido","Pendiente")))</x:f>
      </x:c>
    </x:row>
    <x:row r="78">
      <x:c r="B78" s="8"/>
      <x:c r="E78" s="6"/>
      <x:c r="F78" s="8"/>
      <x:c r="G78" s="8"/>
      <x:c r="H78" s="6"/>
      <x:c r="I78" s="6" t="str">
        <x:f>IF(E78="","",MAX(0,E78-H78))</x:f>
      </x:c>
      <x:c r="J78" t="str">
        <x:f>IF(E78="","",IF(I78=0,"Pagado",IF(F78&lt;TODAY(),"Vencido","Pendiente")))</x:f>
      </x:c>
    </x:row>
    <x:row r="79">
      <x:c r="B79" s="8"/>
      <x:c r="E79" s="6"/>
      <x:c r="F79" s="8"/>
      <x:c r="G79" s="8"/>
      <x:c r="H79" s="6"/>
      <x:c r="I79" s="6" t="str">
        <x:f>IF(E79="","",MAX(0,E79-H79))</x:f>
      </x:c>
      <x:c r="J79" t="str">
        <x:f>IF(E79="","",IF(I79=0,"Pagado",IF(F79&lt;TODAY(),"Vencido","Pendiente")))</x:f>
      </x:c>
    </x:row>
    <x:row r="80">
      <x:c r="B80" s="8"/>
      <x:c r="E80" s="6"/>
      <x:c r="F80" s="8"/>
      <x:c r="G80" s="8"/>
      <x:c r="H80" s="6"/>
      <x:c r="I80" s="6" t="str">
        <x:f>IF(E80="","",MAX(0,E80-H80))</x:f>
      </x:c>
      <x:c r="J80" t="str">
        <x:f>IF(E80="","",IF(I80=0,"Pagado",IF(F80&lt;TODAY(),"Vencido","Pendiente")))</x:f>
      </x:c>
    </x:row>
    <x:row r="81">
      <x:c r="B81" s="8"/>
      <x:c r="E81" s="6"/>
      <x:c r="F81" s="8"/>
      <x:c r="G81" s="8"/>
      <x:c r="H81" s="6"/>
      <x:c r="I81" s="6" t="str">
        <x:f>IF(E81="","",MAX(0,E81-H81))</x:f>
      </x:c>
      <x:c r="J81" t="str">
        <x:f>IF(E81="","",IF(I81=0,"Pagado",IF(F81&lt;TODAY(),"Vencido","Pendiente")))</x:f>
      </x:c>
    </x:row>
    <x:row r="82">
      <x:c r="B82" s="8"/>
      <x:c r="E82" s="6"/>
      <x:c r="F82" s="8"/>
      <x:c r="G82" s="8"/>
      <x:c r="H82" s="6"/>
      <x:c r="I82" s="6" t="str">
        <x:f>IF(E82="","",MAX(0,E82-H82))</x:f>
      </x:c>
      <x:c r="J82" t="str">
        <x:f>IF(E82="","",IF(I82=0,"Pagado",IF(F82&lt;TODAY(),"Vencido","Pendiente")))</x:f>
      </x:c>
    </x:row>
    <x:row r="83">
      <x:c r="B83" s="8"/>
      <x:c r="E83" s="6"/>
      <x:c r="F83" s="8"/>
      <x:c r="G83" s="8"/>
      <x:c r="H83" s="6"/>
      <x:c r="I83" s="6" t="str">
        <x:f>IF(E83="","",MAX(0,E83-H83))</x:f>
      </x:c>
      <x:c r="J83" t="str">
        <x:f>IF(E83="","",IF(I83=0,"Pagado",IF(F83&lt;TODAY(),"Vencido","Pendiente")))</x:f>
      </x:c>
    </x:row>
    <x:row r="84">
      <x:c r="B84" s="8"/>
      <x:c r="E84" s="6"/>
      <x:c r="F84" s="8"/>
      <x:c r="G84" s="8"/>
      <x:c r="H84" s="6"/>
      <x:c r="I84" s="6" t="str">
        <x:f>IF(E84="","",MAX(0,E84-H84))</x:f>
      </x:c>
      <x:c r="J84" t="str">
        <x:f>IF(E84="","",IF(I84=0,"Pagado",IF(F84&lt;TODAY(),"Vencido","Pendiente")))</x:f>
      </x:c>
    </x:row>
    <x:row r="85">
      <x:c r="B85" s="8"/>
      <x:c r="E85" s="6"/>
      <x:c r="F85" s="8"/>
      <x:c r="G85" s="8"/>
      <x:c r="H85" s="6"/>
      <x:c r="I85" s="6" t="str">
        <x:f>IF(E85="","",MAX(0,E85-H85))</x:f>
      </x:c>
      <x:c r="J85" t="str">
        <x:f>IF(E85="","",IF(I85=0,"Pagado",IF(F85&lt;TODAY(),"Vencido","Pendiente")))</x:f>
      </x:c>
    </x:row>
    <x:row r="86">
      <x:c r="B86" s="8"/>
      <x:c r="E86" s="6"/>
      <x:c r="F86" s="8"/>
      <x:c r="G86" s="8"/>
      <x:c r="H86" s="6"/>
      <x:c r="I86" s="6" t="str">
        <x:f>IF(E86="","",MAX(0,E86-H86))</x:f>
      </x:c>
      <x:c r="J86" t="str">
        <x:f>IF(E86="","",IF(I86=0,"Pagado",IF(F86&lt;TODAY(),"Vencido","Pendiente")))</x:f>
      </x:c>
    </x:row>
    <x:row r="87">
      <x:c r="B87" s="8"/>
      <x:c r="E87" s="6"/>
      <x:c r="F87" s="8"/>
      <x:c r="G87" s="8"/>
      <x:c r="H87" s="6"/>
      <x:c r="I87" s="6" t="str">
        <x:f>IF(E87="","",MAX(0,E87-H87))</x:f>
      </x:c>
      <x:c r="J87" t="str">
        <x:f>IF(E87="","",IF(I87=0,"Pagado",IF(F87&lt;TODAY(),"Vencido","Pendiente")))</x:f>
      </x:c>
    </x:row>
    <x:row r="88">
      <x:c r="B88" s="8"/>
      <x:c r="E88" s="6"/>
      <x:c r="F88" s="8"/>
      <x:c r="G88" s="8"/>
      <x:c r="H88" s="6"/>
      <x:c r="I88" s="6" t="str">
        <x:f>IF(E88="","",MAX(0,E88-H88))</x:f>
      </x:c>
      <x:c r="J88" t="str">
        <x:f>IF(E88="","",IF(I88=0,"Pagado",IF(F88&lt;TODAY(),"Vencido","Pendiente")))</x:f>
      </x:c>
    </x:row>
    <x:row r="89">
      <x:c r="B89" s="8"/>
      <x:c r="E89" s="6"/>
      <x:c r="F89" s="8"/>
      <x:c r="G89" s="8"/>
      <x:c r="H89" s="6"/>
      <x:c r="I89" s="6" t="str">
        <x:f>IF(E89="","",MAX(0,E89-H89))</x:f>
      </x:c>
      <x:c r="J89" t="str">
        <x:f>IF(E89="","",IF(I89=0,"Pagado",IF(F89&lt;TODAY(),"Vencido","Pendiente")))</x:f>
      </x:c>
    </x:row>
    <x:row r="90">
      <x:c r="B90" s="8"/>
      <x:c r="E90" s="6"/>
      <x:c r="F90" s="8"/>
      <x:c r="G90" s="8"/>
      <x:c r="H90" s="6"/>
      <x:c r="I90" s="6" t="str">
        <x:f>IF(E90="","",MAX(0,E90-H90))</x:f>
      </x:c>
      <x:c r="J90" t="str">
        <x:f>IF(E90="","",IF(I90=0,"Pagado",IF(F90&lt;TODAY(),"Vencido","Pendiente")))</x:f>
      </x:c>
    </x:row>
    <x:row r="91">
      <x:c r="B91" s="8"/>
      <x:c r="E91" s="6"/>
      <x:c r="F91" s="8"/>
      <x:c r="G91" s="8"/>
      <x:c r="H91" s="6"/>
      <x:c r="I91" s="6" t="str">
        <x:f>IF(E91="","",MAX(0,E91-H91))</x:f>
      </x:c>
      <x:c r="J91" t="str">
        <x:f>IF(E91="","",IF(I91=0,"Pagado",IF(F91&lt;TODAY(),"Vencido","Pendiente")))</x:f>
      </x:c>
    </x:row>
    <x:row r="92">
      <x:c r="B92" s="8"/>
      <x:c r="E92" s="6"/>
      <x:c r="F92" s="8"/>
      <x:c r="G92" s="8"/>
      <x:c r="H92" s="6"/>
      <x:c r="I92" s="6" t="str">
        <x:f>IF(E92="","",MAX(0,E92-H92))</x:f>
      </x:c>
      <x:c r="J92" t="str">
        <x:f>IF(E92="","",IF(I92=0,"Pagado",IF(F92&lt;TODAY(),"Vencido","Pendiente")))</x:f>
      </x:c>
    </x:row>
    <x:row r="93">
      <x:c r="B93" s="8"/>
      <x:c r="E93" s="6"/>
      <x:c r="F93" s="8"/>
      <x:c r="G93" s="8"/>
      <x:c r="H93" s="6"/>
      <x:c r="I93" s="6" t="str">
        <x:f>IF(E93="","",MAX(0,E93-H93))</x:f>
      </x:c>
      <x:c r="J93" t="str">
        <x:f>IF(E93="","",IF(I93=0,"Pagado",IF(F93&lt;TODAY(),"Vencido","Pendiente")))</x:f>
      </x:c>
    </x:row>
    <x:row r="94">
      <x:c r="B94" s="8"/>
      <x:c r="E94" s="6"/>
      <x:c r="F94" s="8"/>
      <x:c r="G94" s="8"/>
      <x:c r="H94" s="6"/>
      <x:c r="I94" s="6" t="str">
        <x:f>IF(E94="","",MAX(0,E94-H94))</x:f>
      </x:c>
      <x:c r="J94" t="str">
        <x:f>IF(E94="","",IF(I94=0,"Pagado",IF(F94&lt;TODAY(),"Vencido","Pendiente")))</x:f>
      </x:c>
    </x:row>
    <x:row r="95">
      <x:c r="B95" s="8"/>
      <x:c r="E95" s="6"/>
      <x:c r="F95" s="8"/>
      <x:c r="G95" s="8"/>
      <x:c r="H95" s="6"/>
      <x:c r="I95" s="6" t="str">
        <x:f>IF(E95="","",MAX(0,E95-H95))</x:f>
      </x:c>
      <x:c r="J95" t="str">
        <x:f>IF(E95="","",IF(I95=0,"Pagado",IF(F95&lt;TODAY(),"Vencido","Pendiente")))</x:f>
      </x:c>
    </x:row>
    <x:row r="96">
      <x:c r="B96" s="8"/>
      <x:c r="E96" s="6"/>
      <x:c r="F96" s="8"/>
      <x:c r="G96" s="8"/>
      <x:c r="H96" s="6"/>
      <x:c r="I96" s="6" t="str">
        <x:f>IF(E96="","",MAX(0,E96-H96))</x:f>
      </x:c>
      <x:c r="J96" t="str">
        <x:f>IF(E96="","",IF(I96=0,"Pagado",IF(F96&lt;TODAY(),"Vencido","Pendiente")))</x:f>
      </x:c>
    </x:row>
    <x:row r="97">
      <x:c r="B97" s="8"/>
      <x:c r="E97" s="6"/>
      <x:c r="F97" s="8"/>
      <x:c r="G97" s="8"/>
      <x:c r="H97" s="6"/>
      <x:c r="I97" s="6" t="str">
        <x:f>IF(E97="","",MAX(0,E97-H97))</x:f>
      </x:c>
      <x:c r="J97" t="str">
        <x:f>IF(E97="","",IF(I97=0,"Pagado",IF(F97&lt;TODAY(),"Vencido","Pendiente")))</x:f>
      </x:c>
    </x:row>
    <x:row r="98">
      <x:c r="B98" s="8"/>
      <x:c r="E98" s="6"/>
      <x:c r="F98" s="8"/>
      <x:c r="G98" s="8"/>
      <x:c r="H98" s="6"/>
      <x:c r="I98" s="6" t="str">
        <x:f>IF(E98="","",MAX(0,E98-H98))</x:f>
      </x:c>
      <x:c r="J98" t="str">
        <x:f>IF(E98="","",IF(I98=0,"Pagado",IF(F98&lt;TODAY(),"Vencido","Pendiente")))</x:f>
      </x:c>
    </x:row>
    <x:row r="99">
      <x:c r="B99" s="8"/>
      <x:c r="E99" s="6"/>
      <x:c r="F99" s="8"/>
      <x:c r="G99" s="8"/>
      <x:c r="H99" s="6"/>
      <x:c r="I99" s="6" t="str">
        <x:f>IF(E99="","",MAX(0,E99-H99))</x:f>
      </x:c>
      <x:c r="J99" t="str">
        <x:f>IF(E99="","",IF(I99=0,"Pagado",IF(F99&lt;TODAY(),"Vencido","Pendiente")))</x:f>
      </x:c>
    </x:row>
    <x:row r="100">
      <x:c r="B100" s="8"/>
      <x:c r="E100" s="6"/>
      <x:c r="F100" s="8"/>
      <x:c r="G100" s="8"/>
      <x:c r="H100" s="6"/>
      <x:c r="I100" s="6" t="str">
        <x:f>IF(E100="","",MAX(0,E100-H100))</x:f>
      </x:c>
      <x:c r="J100" t="str">
        <x:f>IF(E100="","",IF(I100=0,"Pagado",IF(F100&lt;TODAY(),"Vencido","Pendiente")))</x:f>
      </x:c>
    </x:row>
    <x:row r="101">
      <x:c r="B101" s="8"/>
      <x:c r="E101" s="6"/>
      <x:c r="F101" s="8"/>
      <x:c r="G101" s="8"/>
      <x:c r="H101" s="6"/>
      <x:c r="I101" s="6" t="str">
        <x:f>IF(E101="","",MAX(0,E101-H101))</x:f>
      </x:c>
      <x:c r="J101" t="str">
        <x:f>IF(E101="","",IF(I101=0,"Pagado",IF(F101&lt;TODAY(),"Vencido","Pendiente")))</x:f>
      </x:c>
    </x:row>
  </x:sheetData>
  <x:conditionalFormatting sqref="J2:J101">
    <x:cfRule type="expression" dxfId="0" priority="1">
      <x:formula>J2="Vencido"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5" hidden="0" customWidth="1"/>
  </x:cols>
  <x:sheetData>
    <x:row r="1">
      <x:c r="A1" s="3" t="str">
        <x:v>ROGAJ CONTROL 360</x:v>
      </x:c>
      <x:c r="B1" s="3" t="str">
        <x:v>GUÍA DE USO</x:v>
      </x:c>
    </x:row>
    <x:row r="2">
      <x:c r="A2" t="str">
        <x:v>1.</x:v>
      </x:c>
      <x:c r="B2" s="26" t="str">
        <x:v>Este archivo contiene exclusivamente datos ficticios de demostración.</x:v>
      </x:c>
    </x:row>
    <x:row r="3">
      <x:c r="A3" t="str">
        <x:v>2.</x:v>
      </x:c>
      <x:c r="B3" s="26" t="str">
        <x:v>Edita las columnas A:H de la hoja Ventas y cobranza.</x:v>
      </x:c>
    </x:row>
    <x:row r="4">
      <x:c r="A4" t="str">
        <x:v>3.</x:v>
      </x:c>
      <x:c r="B4" s="26" t="str">
        <x:v>Las columnas I y J calculan automáticamente saldo y estado. No sobrescribir.</x:v>
      </x:c>
    </x:row>
    <x:row r="5">
      <x:c r="A5" t="str">
        <x:v>4.</x:v>
      </x:c>
      <x:c r="B5" s="26" t="str">
        <x:v>Agrega registros dentro de las filas 2 a 101. Las métricas consideran ese rango.</x:v>
      </x:c>
    </x:row>
    <x:row r="6">
      <x:c r="A6" t="str">
        <x:v>5.</x:v>
      </x:c>
      <x:c r="B6" s="26" t="str">
        <x:v>El estado Vencido depende de la fecha actual del equipo.</x:v>
      </x:c>
    </x:row>
    <x:row r="7">
      <x:c r="A7" t="str">
        <x:v>6.</x:v>
      </x:c>
      <x:c r="B7" s="26" t="str">
        <x:v>Dashboard muestra ventas, cobros, saldos y estado de facturas.</x:v>
      </x:c>
    </x:row>
    <x:row r="8">
      <x:c r="A8" t="str">
        <x:v>7.</x:v>
      </x:c>
      <x:c r="B8" s="26" t="str">
        <x:v>Importe cobrado no debe superar importe facturado; validar al cargar datos.</x:v>
      </x:c>
    </x:row>
    <x:row r="9">
      <x:c r="A9" t="str">
        <x:v>8.</x:v>
      </x:c>
      <x:c r="B9" s="26" t="str">
        <x:v>Una implementación real requiere diagnóstico, controles y pruebas con el cliente.</x:v>
      </x:c>
    </x:row>
  </x:sheetData>
  <x:pageMargins left="0.7" right="0.7" top="0.75" bottom="0.75" header="0.3" footer="0.3"/>
</x:worksheet>
</file>